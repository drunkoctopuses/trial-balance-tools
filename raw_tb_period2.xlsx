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glin\Downloads\"/>
    </mc:Choice>
  </mc:AlternateContent>
  <xr:revisionPtr revIDLastSave="0" documentId="13_ncr:1_{8ED4C183-F20F-4E0C-A87C-2D18556C53C9}" xr6:coauthVersionLast="47" xr6:coauthVersionMax="47" xr10:uidLastSave="{00000000-0000-0000-0000-000000000000}"/>
  <bookViews>
    <workbookView xWindow="13965" yWindow="4125" windowWidth="21600" windowHeight="11295" xr2:uid="{67078ABF-D226-49A1-8EE3-AFE4E169799C}"/>
  </bookViews>
  <sheets>
    <sheet name="Sheet1 (3)" sheetId="4" r:id="rId1"/>
    <sheet name="Sheet1 (2)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D9" i="4"/>
  <c r="D9" i="3"/>
  <c r="D10" i="3"/>
  <c r="D81" i="1"/>
  <c r="E81" i="1" s="1"/>
  <c r="E10" i="3" l="1"/>
</calcChain>
</file>

<file path=xl/sharedStrings.xml><?xml version="1.0" encoding="utf-8"?>
<sst xmlns="http://schemas.openxmlformats.org/spreadsheetml/2006/main" count="298" uniqueCount="217">
  <si>
    <t xml:space="preserve">Amount </t>
  </si>
  <si>
    <t xml:space="preserve">Description </t>
  </si>
  <si>
    <t>Rounding Gain/Loss</t>
  </si>
  <si>
    <t>10000 - Cash</t>
  </si>
  <si>
    <t>11000 - PNC - Operating Account</t>
  </si>
  <si>
    <t>11100 - PNC - Money Market</t>
  </si>
  <si>
    <t>11160 - PayPal</t>
  </si>
  <si>
    <t>11170 - HSBC - USD (4956)</t>
  </si>
  <si>
    <t>Total - 10000 - Cash</t>
  </si>
  <si>
    <t>12000 - Accounts Receivable - Summary</t>
  </si>
  <si>
    <t>12100 - Accounts Receivable</t>
  </si>
  <si>
    <t>12110 - Sundry Debtors</t>
  </si>
  <si>
    <t>12500 - Allowance for Bad Debts</t>
  </si>
  <si>
    <t>Total - 12000 - Accounts Receivable - Summary</t>
  </si>
  <si>
    <t>13000 - Other Current Assets</t>
  </si>
  <si>
    <t>13100 - Prepaid Expenses</t>
  </si>
  <si>
    <t>13200 - Prepaid Interest</t>
  </si>
  <si>
    <t>13400 - Reimbursable Flintbox Expenses</t>
  </si>
  <si>
    <t>13700 - Other Current Asset</t>
  </si>
  <si>
    <t>Total - 13000 - Other Current Assets</t>
  </si>
  <si>
    <t>13500 - Unbilled Revenue</t>
  </si>
  <si>
    <t>13800 - Deferred Contract Costs</t>
  </si>
  <si>
    <t>13900 - Intercompany - Due from</t>
  </si>
  <si>
    <t>14000 - Fixed Assets</t>
  </si>
  <si>
    <t>14100 - Office Equipment</t>
  </si>
  <si>
    <t>14110 - Capitalized Office Equipment Cost</t>
  </si>
  <si>
    <t>14115 - Capitalized Office Equipment Accum Depr</t>
  </si>
  <si>
    <t>Total - 14100 - Office Equipment</t>
  </si>
  <si>
    <t>14200 - Furniture and Fixtures</t>
  </si>
  <si>
    <t>14215 - Capitalized Furniture and Fixtures - Accum Depr.</t>
  </si>
  <si>
    <t>Total - 14200 - Furniture and Fixtures</t>
  </si>
  <si>
    <t>15000 - Intangible Assets</t>
  </si>
  <si>
    <t>15130 - Intangible Assets: Developed Technology - Resurgens Acq</t>
  </si>
  <si>
    <t>15135 - Intangible Assets: Developed Technology Accumulated Amort</t>
  </si>
  <si>
    <t>15140 - Intangible Assets: Tradename [Wellspring] - Resurgens Acq</t>
  </si>
  <si>
    <t>15145 - Intangible Assets: Tradename [Wellspring] Accumulated Amort</t>
  </si>
  <si>
    <t>Total - 15000 - Intangible Assets</t>
  </si>
  <si>
    <t>16000 - Capitalized Software</t>
  </si>
  <si>
    <t>16110 - Software Asset:Capitalized SW Development</t>
  </si>
  <si>
    <t>Total - 16000 - Capitalized Software</t>
  </si>
  <si>
    <t>Total - 14000 - Fixed Assets</t>
  </si>
  <si>
    <t>17110 - Deferred Financing Fees</t>
  </si>
  <si>
    <t>17115 - Deferred Financing Fees - Accum Amort</t>
  </si>
  <si>
    <t>18110 - Resurgens/Sopheon Goodwill</t>
  </si>
  <si>
    <t>18115 - Resurgens/Sopheon Goodwill Accum Amort</t>
  </si>
  <si>
    <t>18210 - IPPL Goodwill</t>
  </si>
  <si>
    <t>18215 - IPPL Goodwill Amortization</t>
  </si>
  <si>
    <t>18310 - Investment in Wellspring Japan</t>
  </si>
  <si>
    <t>18355 - Investment in Sopheon Limited (f.k.a Sopheon Plc)</t>
  </si>
  <si>
    <t>18500 - Security Deposit</t>
  </si>
  <si>
    <t>20000 - Accounts Payable - Summary</t>
  </si>
  <si>
    <t>21000 - Accounts Payable</t>
  </si>
  <si>
    <t>21100 - Accounts Payable -  Flintbox</t>
  </si>
  <si>
    <t>Total - 20000 - Accounts Payable - Summary</t>
  </si>
  <si>
    <t>22000 - Credit Card</t>
  </si>
  <si>
    <t>22100 - Ramp Card</t>
  </si>
  <si>
    <t>Total - 22000 - Credit Card</t>
  </si>
  <si>
    <t>23000 - Other Current Liabilities</t>
  </si>
  <si>
    <t>23100 - Accrued AP</t>
  </si>
  <si>
    <t>23200 - Accrued Bonus</t>
  </si>
  <si>
    <t>23300 - Accrued Contract Costs</t>
  </si>
  <si>
    <t>23400 - Accrued Interest</t>
  </si>
  <si>
    <t>23500 - Accrued Vacation</t>
  </si>
  <si>
    <t>23600 - Employee Withholding Accrual</t>
  </si>
  <si>
    <t>Total - 23000 - Other Current Liabilities</t>
  </si>
  <si>
    <t>24000 - Deferred Revenue-</t>
  </si>
  <si>
    <t>24000 - Deferred Revenue</t>
  </si>
  <si>
    <t>24100 - Deferred Revenue:SAAS</t>
  </si>
  <si>
    <t>24110 - Deferred Revenue: Recurring Services</t>
  </si>
  <si>
    <t>24120 - Deferred Revenue:Software Services</t>
  </si>
  <si>
    <t>Total - 24000 - Deferred Revenue</t>
  </si>
  <si>
    <t>25100 - Online Transaction Distribution</t>
  </si>
  <si>
    <t>25300 - State Income Tax Payable</t>
  </si>
  <si>
    <t>26300 - Short-Term Loan</t>
  </si>
  <si>
    <t>27100 - PNC Loan</t>
  </si>
  <si>
    <t>27125 - Fund Guaranteed Loan</t>
  </si>
  <si>
    <t>27150 - Morgan Stanley Bridge Note</t>
  </si>
  <si>
    <t>29000 - Intercompany - Due To</t>
  </si>
  <si>
    <t>32160 - Wellspring Japan Capital Stock</t>
  </si>
  <si>
    <t>35100 - APIC</t>
  </si>
  <si>
    <t>35200 - Members Equity</t>
  </si>
  <si>
    <t>39000 - Retained Earnings</t>
  </si>
  <si>
    <t>41000 - Recurring Revenue</t>
  </si>
  <si>
    <t>41010 - SaaS</t>
  </si>
  <si>
    <t>41020 - Maintenance</t>
  </si>
  <si>
    <t>41030 - Hosting</t>
  </si>
  <si>
    <t>41110 - OaaS (Recurring)</t>
  </si>
  <si>
    <t>Total - 41000 - Recurring Revenue</t>
  </si>
  <si>
    <t>42000 - Non-Recurring Revenue</t>
  </si>
  <si>
    <t>42110 - OaaS (Non-Rec)</t>
  </si>
  <si>
    <t>42120 - Advisory (Non-Rec)</t>
  </si>
  <si>
    <t>42130 - Revenue Share</t>
  </si>
  <si>
    <t>43000 - Marketplace Revenue</t>
  </si>
  <si>
    <t>45000 - Miscellaneous Revenue</t>
  </si>
  <si>
    <t>Total - 42000 - Non-Recurring Revenue</t>
  </si>
  <si>
    <t>42900 - Interco Revenue</t>
  </si>
  <si>
    <t>49000 - Discounts/Refunds Given</t>
  </si>
  <si>
    <t>51000 - Cost of Goods Sold</t>
  </si>
  <si>
    <t>51050 - Hosting</t>
  </si>
  <si>
    <t>51060 - Software Expense</t>
  </si>
  <si>
    <t>51100 - Labor</t>
  </si>
  <si>
    <t>51210 - Benefits</t>
  </si>
  <si>
    <t>51300 - Patent Renewals</t>
  </si>
  <si>
    <t>Total - 51000 - Cost of Goods Sold</t>
  </si>
  <si>
    <t>55500 - Interco COS</t>
  </si>
  <si>
    <t>61000 - Labor Expenses</t>
  </si>
  <si>
    <t>61100 - Salary Expense</t>
  </si>
  <si>
    <t>61110 - Severance</t>
  </si>
  <si>
    <t>61130 - Bonus</t>
  </si>
  <si>
    <t>61140 - Commission</t>
  </si>
  <si>
    <t>61220 - Payroll Taxes</t>
  </si>
  <si>
    <t>Total - 61000 - Labor Expenses</t>
  </si>
  <si>
    <t>61190 - Contractors</t>
  </si>
  <si>
    <t>61200 - Labor Expenses:Benefits</t>
  </si>
  <si>
    <t>61210 - Health Insurance</t>
  </si>
  <si>
    <t>61215 - Dental Insurance</t>
  </si>
  <si>
    <t>61225 - Vision Insurance</t>
  </si>
  <si>
    <t>61230 - PTO Expense</t>
  </si>
  <si>
    <t>61235 - Retirement Contribution</t>
  </si>
  <si>
    <t>61240 - Workers Comp</t>
  </si>
  <si>
    <t>61245 - Payroll Processing</t>
  </si>
  <si>
    <t>61250 - Benefits Administration Fees</t>
  </si>
  <si>
    <t>61280 - Benefits - Other</t>
  </si>
  <si>
    <t>61290 - Stock Compensation Expense</t>
  </si>
  <si>
    <t>Total - 61200 - Labor Expenses:Benefits</t>
  </si>
  <si>
    <t>61800 - Hiring</t>
  </si>
  <si>
    <t>62000 - Operating Expenses</t>
  </si>
  <si>
    <t>62600 - Professional Fees-</t>
  </si>
  <si>
    <t>62600 - Professional Fees</t>
  </si>
  <si>
    <t>62610 - Legal Fees</t>
  </si>
  <si>
    <t>62620 - Auditor Fees</t>
  </si>
  <si>
    <t>62660 - Security Audit / Consulting</t>
  </si>
  <si>
    <t>62670 - Other Consulting</t>
  </si>
  <si>
    <t>62680 - Resurgens Advisory Fee</t>
  </si>
  <si>
    <t>Total - 62600 - Professional Fees</t>
  </si>
  <si>
    <t>63100 - Travel &amp; Entertainment-</t>
  </si>
  <si>
    <t>63100 - Travel &amp; Entertainment</t>
  </si>
  <si>
    <t>63110 - Airfare</t>
  </si>
  <si>
    <t>63120 - Hotels &amp; Lodging</t>
  </si>
  <si>
    <t>63130 - Taxi, Lyft, Car Rental</t>
  </si>
  <si>
    <t>63140 - Fuel</t>
  </si>
  <si>
    <t>63150 - Mileage</t>
  </si>
  <si>
    <t>63160 - Parking &amp; Tolls</t>
  </si>
  <si>
    <t>63180 - Meals</t>
  </si>
  <si>
    <t>63187 - Entertainment</t>
  </si>
  <si>
    <t>63195 - Other Travel Expenses</t>
  </si>
  <si>
    <t>Total - 63100 - Travel &amp; Entertainment</t>
  </si>
  <si>
    <t>63200 - Employee Education &amp; Events-</t>
  </si>
  <si>
    <t>63200 - Employee Education &amp; Events</t>
  </si>
  <si>
    <t>63210 - Employee Recognition</t>
  </si>
  <si>
    <t>63220 - Employee Events</t>
  </si>
  <si>
    <t>63230 - Professional Development</t>
  </si>
  <si>
    <t>63250 - Subscriptions</t>
  </si>
  <si>
    <t>Total - 63200 - Employee Education &amp; Events</t>
  </si>
  <si>
    <t>64000 - Marketing and Advertising-</t>
  </si>
  <si>
    <t>64000 - Marketing and Advertising</t>
  </si>
  <si>
    <t>64100 - Printing</t>
  </si>
  <si>
    <t>64200 - Trade Show</t>
  </si>
  <si>
    <t>64300 - Sponsorships</t>
  </si>
  <si>
    <t>64400 - Online Lead Generation</t>
  </si>
  <si>
    <t>64500 - Conferences</t>
  </si>
  <si>
    <t>64600 - Consultants: Marketing</t>
  </si>
  <si>
    <t>64750 - Other Marketing &amp; Advertising</t>
  </si>
  <si>
    <t>Total - 64000 - Marketing and Advertising</t>
  </si>
  <si>
    <t>65000 - Technology</t>
  </si>
  <si>
    <t>65200 - Software Productivity Tools</t>
  </si>
  <si>
    <t>65400 - Hardware &amp; Equipment Expense</t>
  </si>
  <si>
    <t>Total - 65000 - Technology</t>
  </si>
  <si>
    <t>66000 - Facilities</t>
  </si>
  <si>
    <t>66100 - Office Lease</t>
  </si>
  <si>
    <t>66110 - Building Repairs</t>
  </si>
  <si>
    <t>66120 - Flex space Rent</t>
  </si>
  <si>
    <t>66300 - Utilities-</t>
  </si>
  <si>
    <t>66300 - Utilities</t>
  </si>
  <si>
    <t>66310 - Mobile Phones</t>
  </si>
  <si>
    <t>66320 - Internet</t>
  </si>
  <si>
    <t>66330 - Gas and Electric</t>
  </si>
  <si>
    <t>Total - 66300 - Utilities</t>
  </si>
  <si>
    <t>Total - 66000 - Facilities</t>
  </si>
  <si>
    <t>Total - 62000 - Operating Expenses</t>
  </si>
  <si>
    <t>67000 - Administration</t>
  </si>
  <si>
    <t>67010 - Office Supplies</t>
  </si>
  <si>
    <t>67020 - Postage and Delivery</t>
  </si>
  <si>
    <t>67100 - Business Insurance</t>
  </si>
  <si>
    <t>67200 - Loan Interest</t>
  </si>
  <si>
    <t>67210 - Morgan Stanley PIK Loan Interest</t>
  </si>
  <si>
    <t>67220 - Interest Expense (Income)</t>
  </si>
  <si>
    <t>67300 - Lender Fees</t>
  </si>
  <si>
    <t>67320 - Bank Fees</t>
  </si>
  <si>
    <t>67330 - Merchant Services Fees</t>
  </si>
  <si>
    <t>67340 - Foreign Transaction Fee</t>
  </si>
  <si>
    <t>67400 - Foreign Exchange (Gain) Loss</t>
  </si>
  <si>
    <t>67750 - Reconciliation Discrepancies</t>
  </si>
  <si>
    <t>Total - 67000 - Administration</t>
  </si>
  <si>
    <t>67401 - Realized Gain/Loss</t>
  </si>
  <si>
    <t>69100 - Other Income</t>
  </si>
  <si>
    <t>69200 - Other Expenses-</t>
  </si>
  <si>
    <t>69200 - Other Expenses</t>
  </si>
  <si>
    <t>69500 - Below the Line (BTL)</t>
  </si>
  <si>
    <t>Total - 69200 - Other Expenses</t>
  </si>
  <si>
    <t>69300 - Depreciation/Amortization</t>
  </si>
  <si>
    <t>69310 - Depreciation Expense</t>
  </si>
  <si>
    <t>69320 - Amortization Expense</t>
  </si>
  <si>
    <t>Total - 69300 - Depreciation/Amortization</t>
  </si>
  <si>
    <t>69600 - Transaction Expense</t>
  </si>
  <si>
    <t>69690 - Miscellaneous</t>
  </si>
  <si>
    <t>70000 - Taxes-</t>
  </si>
  <si>
    <t>71000 - Tax Provision - Federal Current</t>
  </si>
  <si>
    <t>72000 - Tax Provision - State Current</t>
  </si>
  <si>
    <t>73000 - Property</t>
  </si>
  <si>
    <t>Total - 70000 - Taxes</t>
  </si>
  <si>
    <t>9999998 - Intercompany Accounts Receivable</t>
  </si>
  <si>
    <t>9999999 - Intercompany Accounts Payable</t>
  </si>
  <si>
    <t>Total</t>
  </si>
  <si>
    <t>10000 cash 11000 - PNC - Operating Account</t>
  </si>
  <si>
    <t xml:space="preserve">10000 - PNC - Money Market  11100 </t>
  </si>
  <si>
    <t xml:space="preserve">61000 - Labor Expenses 61150 new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</si>
</sst>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0" fontId="0" fillId="2" borderId="0" xfId="0" applyFill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9C6B-DC06-4595-A050-88783B78BDEF}">
  <dimension ref="C2:E47"/>
  <sheetViews>
    <sheetView tabSelected="1" workbookViewId="0">
      <selection activeCell="E17" sqref="E17"/>
    </sheetView>
  </sheetViews>
  <sheetFormatPr defaultRowHeight="15" x14ac:dyDescent="0.25"/>
  <cols>
    <col min="3" max="3" width="67.7109375" customWidth="1"/>
    <col min="4" max="4" width="17" customWidth="1"/>
    <col min="5" max="5" width="16.28515625" bestFit="1" customWidth="1"/>
  </cols>
  <sheetData>
    <row r="2" spans="3:5" x14ac:dyDescent="0.25">
      <c r="C2" t="s">
        <v>1</v>
      </c>
      <c r="D2" t="s">
        <v>0</v>
      </c>
    </row>
    <row r="4" spans="3:5" x14ac:dyDescent="0.25">
      <c r="C4" t="s">
        <v>2</v>
      </c>
      <c r="D4" s="1">
        <v>20</v>
      </c>
    </row>
    <row r="5" spans="3:5" x14ac:dyDescent="0.25">
      <c r="C5" t="s">
        <v>3</v>
      </c>
    </row>
    <row r="6" spans="3:5" x14ac:dyDescent="0.25">
      <c r="C6" t="s">
        <v>214</v>
      </c>
      <c r="D6" s="1">
        <v>7665383.5999999996</v>
      </c>
    </row>
    <row r="7" spans="3:5" x14ac:dyDescent="0.25">
      <c r="C7" t="s">
        <v>215</v>
      </c>
      <c r="D7" s="1">
        <v>1203351.6299999999</v>
      </c>
    </row>
    <row r="8" spans="3:5" x14ac:dyDescent="0.25">
      <c r="C8" s="2" t="s">
        <v>8</v>
      </c>
      <c r="D8" s="1">
        <v>8868735.2300000004</v>
      </c>
    </row>
    <row r="9" spans="3:5" x14ac:dyDescent="0.25">
      <c r="C9" t="s">
        <v>79</v>
      </c>
      <c r="D9" s="1">
        <f>12070660.8-1000+596176.03</f>
        <v>12665836.83</v>
      </c>
      <c r="E9" s="1"/>
    </row>
    <row r="10" spans="3:5" x14ac:dyDescent="0.25">
      <c r="C10" t="s">
        <v>80</v>
      </c>
      <c r="D10" s="1">
        <f>-51134730-20.03</f>
        <v>-51134750.030000001</v>
      </c>
      <c r="E10" s="1"/>
    </row>
    <row r="11" spans="3:5" x14ac:dyDescent="0.25">
      <c r="C11" t="s">
        <v>81</v>
      </c>
      <c r="D11" s="1">
        <v>25895836.899999999</v>
      </c>
    </row>
    <row r="12" spans="3:5" x14ac:dyDescent="0.25">
      <c r="C12" t="s">
        <v>82</v>
      </c>
    </row>
    <row r="13" spans="3:5" x14ac:dyDescent="0.25">
      <c r="C13" t="s">
        <v>83</v>
      </c>
      <c r="D13" s="1">
        <v>-8562344.8599999994</v>
      </c>
    </row>
    <row r="14" spans="3:5" x14ac:dyDescent="0.25">
      <c r="C14" t="s">
        <v>84</v>
      </c>
      <c r="D14" s="1">
        <v>-781794.83</v>
      </c>
    </row>
    <row r="15" spans="3:5" x14ac:dyDescent="0.25">
      <c r="C15" t="s">
        <v>85</v>
      </c>
      <c r="D15" s="1">
        <v>-292522.33</v>
      </c>
    </row>
    <row r="16" spans="3:5" x14ac:dyDescent="0.25">
      <c r="C16" t="s">
        <v>86</v>
      </c>
      <c r="D16" s="1">
        <v>-732724.54</v>
      </c>
    </row>
    <row r="17" spans="3:4" x14ac:dyDescent="0.25">
      <c r="C17" s="2" t="s">
        <v>87</v>
      </c>
      <c r="D17" s="1">
        <v>-10369386.559999999</v>
      </c>
    </row>
    <row r="18" spans="3:4" x14ac:dyDescent="0.25">
      <c r="C18" t="s">
        <v>88</v>
      </c>
    </row>
    <row r="19" spans="3:4" x14ac:dyDescent="0.25">
      <c r="C19" t="s">
        <v>89</v>
      </c>
      <c r="D19" s="1">
        <v>-750301.67</v>
      </c>
    </row>
    <row r="20" spans="3:4" x14ac:dyDescent="0.25">
      <c r="C20" t="s">
        <v>90</v>
      </c>
      <c r="D20" s="1">
        <v>-271119.27</v>
      </c>
    </row>
    <row r="21" spans="3:4" x14ac:dyDescent="0.25">
      <c r="C21" t="s">
        <v>91</v>
      </c>
      <c r="D21" s="1">
        <v>-125616.09</v>
      </c>
    </row>
    <row r="22" spans="3:4" x14ac:dyDescent="0.25">
      <c r="C22" t="s">
        <v>92</v>
      </c>
      <c r="D22" s="1">
        <v>-65933.919999999998</v>
      </c>
    </row>
    <row r="23" spans="3:4" x14ac:dyDescent="0.25">
      <c r="C23" t="s">
        <v>93</v>
      </c>
      <c r="D23" s="1">
        <v>-14593.42</v>
      </c>
    </row>
    <row r="24" spans="3:4" x14ac:dyDescent="0.25">
      <c r="C24" s="2" t="s">
        <v>94</v>
      </c>
      <c r="D24" s="1">
        <v>-1227564.3699999999</v>
      </c>
    </row>
    <row r="25" spans="3:4" x14ac:dyDescent="0.25">
      <c r="C25" t="s">
        <v>95</v>
      </c>
      <c r="D25" s="1">
        <v>-1027639.97</v>
      </c>
    </row>
    <row r="26" spans="3:4" x14ac:dyDescent="0.25">
      <c r="C26" t="s">
        <v>96</v>
      </c>
      <c r="D26" s="1">
        <v>611.79999999999995</v>
      </c>
    </row>
    <row r="27" spans="3:4" x14ac:dyDescent="0.25">
      <c r="C27" t="s">
        <v>97</v>
      </c>
    </row>
    <row r="28" spans="3:4" x14ac:dyDescent="0.25">
      <c r="C28" t="s">
        <v>98</v>
      </c>
      <c r="D28" s="1">
        <v>1390150.49</v>
      </c>
    </row>
    <row r="29" spans="3:4" x14ac:dyDescent="0.25">
      <c r="C29" t="s">
        <v>99</v>
      </c>
      <c r="D29" s="1">
        <v>10000</v>
      </c>
    </row>
    <row r="30" spans="3:4" x14ac:dyDescent="0.25">
      <c r="C30" t="s">
        <v>100</v>
      </c>
      <c r="D30" s="1">
        <v>4704515.84</v>
      </c>
    </row>
    <row r="31" spans="3:4" x14ac:dyDescent="0.25">
      <c r="C31" t="s">
        <v>101</v>
      </c>
      <c r="D31" s="1">
        <v>693561.43</v>
      </c>
    </row>
    <row r="32" spans="3:4" x14ac:dyDescent="0.25">
      <c r="C32" t="s">
        <v>102</v>
      </c>
      <c r="D32" s="1">
        <v>16090.29</v>
      </c>
    </row>
    <row r="33" spans="3:4" x14ac:dyDescent="0.25">
      <c r="C33" s="2" t="s">
        <v>103</v>
      </c>
      <c r="D33" s="1">
        <v>7410494.0799999991</v>
      </c>
    </row>
    <row r="34" spans="3:4" x14ac:dyDescent="0.25">
      <c r="C34" t="s">
        <v>104</v>
      </c>
      <c r="D34" s="1">
        <v>130819.73</v>
      </c>
    </row>
    <row r="35" spans="3:4" x14ac:dyDescent="0.25">
      <c r="C35" t="s">
        <v>105</v>
      </c>
    </row>
    <row r="36" spans="3:4" x14ac:dyDescent="0.25">
      <c r="C36" t="s">
        <v>106</v>
      </c>
      <c r="D36" s="1">
        <v>6907915.1600000001</v>
      </c>
    </row>
    <row r="37" spans="3:4" x14ac:dyDescent="0.25">
      <c r="C37" t="s">
        <v>107</v>
      </c>
      <c r="D37" s="1">
        <v>457306.9</v>
      </c>
    </row>
    <row r="38" spans="3:4" x14ac:dyDescent="0.25">
      <c r="C38" s="3" t="s">
        <v>216</v>
      </c>
      <c r="D38" s="4">
        <v>1000</v>
      </c>
    </row>
    <row r="39" spans="3:4" x14ac:dyDescent="0.25">
      <c r="C39" t="s">
        <v>108</v>
      </c>
      <c r="D39" s="1">
        <v>906087.58</v>
      </c>
    </row>
    <row r="40" spans="3:4" x14ac:dyDescent="0.25">
      <c r="C40" t="s">
        <v>109</v>
      </c>
      <c r="D40" s="1">
        <v>495989.9</v>
      </c>
    </row>
    <row r="41" spans="3:4" x14ac:dyDescent="0.25">
      <c r="C41" t="s">
        <v>110</v>
      </c>
      <c r="D41" s="1">
        <v>614862.85</v>
      </c>
    </row>
    <row r="42" spans="3:4" x14ac:dyDescent="0.25">
      <c r="C42" s="2" t="s">
        <v>111</v>
      </c>
      <c r="D42" s="1">
        <v>9382162.3900000006</v>
      </c>
    </row>
    <row r="43" spans="3:4" x14ac:dyDescent="0.25">
      <c r="C43" t="s">
        <v>213</v>
      </c>
      <c r="D43" s="1">
        <v>-10369386.560000008</v>
      </c>
    </row>
    <row r="47" spans="3:4" x14ac:dyDescent="0.25">
      <c r="D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D977-A9C5-4870-AA5A-AA6951DB6615}">
  <dimension ref="C2:E47"/>
  <sheetViews>
    <sheetView workbookViewId="0">
      <selection activeCell="D13" sqref="D13"/>
    </sheetView>
  </sheetViews>
  <sheetFormatPr defaultRowHeight="15" x14ac:dyDescent="0.25"/>
  <cols>
    <col min="3" max="3" width="67.7109375" customWidth="1"/>
    <col min="4" max="4" width="17" customWidth="1"/>
    <col min="5" max="5" width="16.28515625" bestFit="1" customWidth="1"/>
  </cols>
  <sheetData>
    <row r="2" spans="3:5" x14ac:dyDescent="0.25">
      <c r="C2" t="s">
        <v>1</v>
      </c>
      <c r="D2" t="s">
        <v>0</v>
      </c>
    </row>
    <row r="4" spans="3:5" x14ac:dyDescent="0.25">
      <c r="C4" t="s">
        <v>2</v>
      </c>
      <c r="D4" s="1">
        <v>20</v>
      </c>
    </row>
    <row r="5" spans="3:5" x14ac:dyDescent="0.25">
      <c r="C5" t="s">
        <v>3</v>
      </c>
    </row>
    <row r="6" spans="3:5" x14ac:dyDescent="0.25">
      <c r="C6" t="s">
        <v>214</v>
      </c>
      <c r="D6" s="1">
        <v>7665383.5999999996</v>
      </c>
    </row>
    <row r="7" spans="3:5" x14ac:dyDescent="0.25">
      <c r="C7" t="s">
        <v>215</v>
      </c>
      <c r="D7" s="1">
        <v>1203351.6299999999</v>
      </c>
    </row>
    <row r="8" spans="3:5" x14ac:dyDescent="0.25">
      <c r="C8" s="2" t="s">
        <v>8</v>
      </c>
      <c r="D8" s="1">
        <v>8868735.2300000004</v>
      </c>
    </row>
    <row r="9" spans="3:5" x14ac:dyDescent="0.25">
      <c r="C9" t="s">
        <v>79</v>
      </c>
      <c r="D9" s="1">
        <f>12070660.8-1000+596176.03</f>
        <v>12665836.83</v>
      </c>
      <c r="E9" s="1"/>
    </row>
    <row r="10" spans="3:5" x14ac:dyDescent="0.25">
      <c r="C10" t="s">
        <v>80</v>
      </c>
      <c r="D10" s="1">
        <f>-51134730-20.03</f>
        <v>-51134750.030000001</v>
      </c>
      <c r="E10" s="1">
        <f>SUM(D6:D7,D9:D16,D18:D23,D25:D32,D34:D41,D4)</f>
        <v>1.3969838619232178E-9</v>
      </c>
    </row>
    <row r="11" spans="3:5" x14ac:dyDescent="0.25">
      <c r="C11" t="s">
        <v>81</v>
      </c>
      <c r="D11" s="1">
        <v>25895836.899999999</v>
      </c>
    </row>
    <row r="12" spans="3:5" x14ac:dyDescent="0.25">
      <c r="C12" t="s">
        <v>82</v>
      </c>
    </row>
    <row r="13" spans="3:5" x14ac:dyDescent="0.25">
      <c r="C13" t="s">
        <v>83</v>
      </c>
      <c r="D13" s="1">
        <v>-8562344.8599999994</v>
      </c>
    </row>
    <row r="14" spans="3:5" x14ac:dyDescent="0.25">
      <c r="C14" t="s">
        <v>84</v>
      </c>
      <c r="D14" s="1">
        <v>-781794.83</v>
      </c>
    </row>
    <row r="15" spans="3:5" x14ac:dyDescent="0.25">
      <c r="C15" t="s">
        <v>85</v>
      </c>
      <c r="D15" s="1">
        <v>-292522.33</v>
      </c>
    </row>
    <row r="16" spans="3:5" x14ac:dyDescent="0.25">
      <c r="C16" t="s">
        <v>86</v>
      </c>
      <c r="D16" s="1">
        <v>-732724.54</v>
      </c>
    </row>
    <row r="17" spans="3:4" x14ac:dyDescent="0.25">
      <c r="C17" s="2" t="s">
        <v>87</v>
      </c>
      <c r="D17" s="1">
        <v>-10369386.559999999</v>
      </c>
    </row>
    <row r="18" spans="3:4" x14ac:dyDescent="0.25">
      <c r="C18" t="s">
        <v>88</v>
      </c>
    </row>
    <row r="19" spans="3:4" x14ac:dyDescent="0.25">
      <c r="C19" t="s">
        <v>89</v>
      </c>
      <c r="D19" s="1">
        <v>-750301.67</v>
      </c>
    </row>
    <row r="20" spans="3:4" x14ac:dyDescent="0.25">
      <c r="C20" t="s">
        <v>90</v>
      </c>
      <c r="D20" s="1">
        <v>-271119.27</v>
      </c>
    </row>
    <row r="21" spans="3:4" x14ac:dyDescent="0.25">
      <c r="C21" t="s">
        <v>91</v>
      </c>
      <c r="D21" s="1">
        <v>-125616.09</v>
      </c>
    </row>
    <row r="22" spans="3:4" x14ac:dyDescent="0.25">
      <c r="C22" t="s">
        <v>92</v>
      </c>
      <c r="D22" s="1">
        <v>-65933.919999999998</v>
      </c>
    </row>
    <row r="23" spans="3:4" x14ac:dyDescent="0.25">
      <c r="C23" t="s">
        <v>93</v>
      </c>
      <c r="D23" s="1">
        <v>-14593.42</v>
      </c>
    </row>
    <row r="24" spans="3:4" x14ac:dyDescent="0.25">
      <c r="C24" s="2" t="s">
        <v>94</v>
      </c>
      <c r="D24" s="1">
        <v>-1227564.3699999999</v>
      </c>
    </row>
    <row r="25" spans="3:4" x14ac:dyDescent="0.25">
      <c r="C25" t="s">
        <v>95</v>
      </c>
      <c r="D25" s="1">
        <v>-1027639.97</v>
      </c>
    </row>
    <row r="26" spans="3:4" x14ac:dyDescent="0.25">
      <c r="C26" t="s">
        <v>96</v>
      </c>
      <c r="D26" s="1">
        <v>611.79999999999995</v>
      </c>
    </row>
    <row r="27" spans="3:4" x14ac:dyDescent="0.25">
      <c r="C27" t="s">
        <v>97</v>
      </c>
    </row>
    <row r="28" spans="3:4" x14ac:dyDescent="0.25">
      <c r="C28" t="s">
        <v>98</v>
      </c>
      <c r="D28" s="1">
        <v>1390150.49</v>
      </c>
    </row>
    <row r="29" spans="3:4" x14ac:dyDescent="0.25">
      <c r="C29" t="s">
        <v>99</v>
      </c>
      <c r="D29" s="1">
        <v>10000</v>
      </c>
    </row>
    <row r="30" spans="3:4" x14ac:dyDescent="0.25">
      <c r="C30" t="s">
        <v>100</v>
      </c>
      <c r="D30" s="1">
        <v>4704515.84</v>
      </c>
    </row>
    <row r="31" spans="3:4" x14ac:dyDescent="0.25">
      <c r="C31" t="s">
        <v>101</v>
      </c>
      <c r="D31" s="1">
        <v>693561.43</v>
      </c>
    </row>
    <row r="32" spans="3:4" x14ac:dyDescent="0.25">
      <c r="C32" t="s">
        <v>102</v>
      </c>
      <c r="D32" s="1">
        <v>16090.29</v>
      </c>
    </row>
    <row r="33" spans="3:4" x14ac:dyDescent="0.25">
      <c r="C33" s="2" t="s">
        <v>103</v>
      </c>
      <c r="D33" s="1">
        <v>7410494.0799999991</v>
      </c>
    </row>
    <row r="34" spans="3:4" x14ac:dyDescent="0.25">
      <c r="C34" t="s">
        <v>104</v>
      </c>
      <c r="D34" s="1">
        <v>130819.73</v>
      </c>
    </row>
    <row r="35" spans="3:4" x14ac:dyDescent="0.25">
      <c r="C35" t="s">
        <v>105</v>
      </c>
    </row>
    <row r="36" spans="3:4" x14ac:dyDescent="0.25">
      <c r="C36" t="s">
        <v>106</v>
      </c>
      <c r="D36" s="1">
        <v>6907915.1600000001</v>
      </c>
    </row>
    <row r="37" spans="3:4" x14ac:dyDescent="0.25">
      <c r="C37" t="s">
        <v>107</v>
      </c>
      <c r="D37" s="1">
        <v>457306.9</v>
      </c>
    </row>
    <row r="38" spans="3:4" x14ac:dyDescent="0.25">
      <c r="C38" s="3" t="s">
        <v>216</v>
      </c>
      <c r="D38" s="4">
        <v>1000</v>
      </c>
    </row>
    <row r="39" spans="3:4" x14ac:dyDescent="0.25">
      <c r="C39" t="s">
        <v>108</v>
      </c>
      <c r="D39" s="1">
        <v>906087.58</v>
      </c>
    </row>
    <row r="40" spans="3:4" x14ac:dyDescent="0.25">
      <c r="C40" t="s">
        <v>109</v>
      </c>
      <c r="D40" s="1">
        <v>495989.9</v>
      </c>
    </row>
    <row r="41" spans="3:4" x14ac:dyDescent="0.25">
      <c r="C41" t="s">
        <v>110</v>
      </c>
      <c r="D41" s="1">
        <v>614862.85</v>
      </c>
    </row>
    <row r="42" spans="3:4" x14ac:dyDescent="0.25">
      <c r="C42" s="2" t="s">
        <v>111</v>
      </c>
      <c r="D42" s="1">
        <v>9382162.3900000006</v>
      </c>
    </row>
    <row r="43" spans="3:4" x14ac:dyDescent="0.25">
      <c r="C43" t="s">
        <v>213</v>
      </c>
      <c r="D43" s="1">
        <v>-10369386.560000008</v>
      </c>
    </row>
    <row r="47" spans="3:4" x14ac:dyDescent="0.25">
      <c r="D47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B324-7809-4BDB-BD82-2D92C9801466}">
  <dimension ref="C2:E215"/>
  <sheetViews>
    <sheetView workbookViewId="0">
      <selection activeCell="G11" sqref="G11"/>
    </sheetView>
  </sheetViews>
  <sheetFormatPr defaultRowHeight="15" x14ac:dyDescent="0.25"/>
  <cols>
    <col min="3" max="3" width="67.7109375" customWidth="1"/>
    <col min="4" max="4" width="17" customWidth="1"/>
    <col min="5" max="5" width="14.5703125" bestFit="1" customWidth="1"/>
  </cols>
  <sheetData>
    <row r="2" spans="3:4" x14ac:dyDescent="0.25">
      <c r="C2" t="s">
        <v>1</v>
      </c>
      <c r="D2" t="s">
        <v>0</v>
      </c>
    </row>
    <row r="4" spans="3:4" x14ac:dyDescent="0.25">
      <c r="C4" t="s">
        <v>2</v>
      </c>
      <c r="D4" s="1">
        <v>-0.03</v>
      </c>
    </row>
    <row r="5" spans="3:4" x14ac:dyDescent="0.25">
      <c r="C5" t="s">
        <v>3</v>
      </c>
    </row>
    <row r="6" spans="3:4" x14ac:dyDescent="0.25">
      <c r="C6" t="s">
        <v>4</v>
      </c>
      <c r="D6" s="1">
        <v>7665383.5999999996</v>
      </c>
    </row>
    <row r="7" spans="3:4" x14ac:dyDescent="0.25">
      <c r="C7" t="s">
        <v>5</v>
      </c>
      <c r="D7" s="1">
        <v>1203351.6299999999</v>
      </c>
    </row>
    <row r="8" spans="3:4" x14ac:dyDescent="0.25">
      <c r="C8" t="s">
        <v>6</v>
      </c>
      <c r="D8" s="1">
        <v>0.11</v>
      </c>
    </row>
    <row r="9" spans="3:4" x14ac:dyDescent="0.25">
      <c r="C9" t="s">
        <v>7</v>
      </c>
      <c r="D9" s="1">
        <v>2232.38</v>
      </c>
    </row>
    <row r="10" spans="3:4" x14ac:dyDescent="0.25">
      <c r="C10" t="s">
        <v>8</v>
      </c>
      <c r="D10" s="1">
        <v>8870967.7200000007</v>
      </c>
    </row>
    <row r="11" spans="3:4" x14ac:dyDescent="0.25">
      <c r="C11" t="s">
        <v>9</v>
      </c>
    </row>
    <row r="12" spans="3:4" x14ac:dyDescent="0.25">
      <c r="C12" t="s">
        <v>10</v>
      </c>
      <c r="D12" s="1">
        <v>2053340.55</v>
      </c>
    </row>
    <row r="13" spans="3:4" x14ac:dyDescent="0.25">
      <c r="C13" t="s">
        <v>11</v>
      </c>
      <c r="D13" s="1">
        <v>48375.68</v>
      </c>
    </row>
    <row r="14" spans="3:4" x14ac:dyDescent="0.25">
      <c r="C14" t="s">
        <v>12</v>
      </c>
      <c r="D14" s="1">
        <v>-168227.65</v>
      </c>
    </row>
    <row r="15" spans="3:4" x14ac:dyDescent="0.25">
      <c r="C15" t="s">
        <v>13</v>
      </c>
      <c r="D15" s="1">
        <v>1933488.58</v>
      </c>
    </row>
    <row r="16" spans="3:4" x14ac:dyDescent="0.25">
      <c r="C16" t="s">
        <v>14</v>
      </c>
    </row>
    <row r="17" spans="3:4" x14ac:dyDescent="0.25">
      <c r="C17" t="s">
        <v>15</v>
      </c>
      <c r="D17" s="1">
        <v>509639.03</v>
      </c>
    </row>
    <row r="18" spans="3:4" x14ac:dyDescent="0.25">
      <c r="C18" t="s">
        <v>16</v>
      </c>
      <c r="D18" s="1">
        <v>360295.36</v>
      </c>
    </row>
    <row r="19" spans="3:4" x14ac:dyDescent="0.25">
      <c r="C19" t="s">
        <v>17</v>
      </c>
      <c r="D19" s="1">
        <v>-3512.46</v>
      </c>
    </row>
    <row r="20" spans="3:4" x14ac:dyDescent="0.25">
      <c r="C20" t="s">
        <v>18</v>
      </c>
      <c r="D20" s="1">
        <v>879000</v>
      </c>
    </row>
    <row r="21" spans="3:4" x14ac:dyDescent="0.25">
      <c r="C21" t="s">
        <v>19</v>
      </c>
      <c r="D21" s="1">
        <v>1745421.93</v>
      </c>
    </row>
    <row r="22" spans="3:4" x14ac:dyDescent="0.25">
      <c r="C22" t="s">
        <v>20</v>
      </c>
      <c r="D22" s="1">
        <v>382715.96</v>
      </c>
    </row>
    <row r="23" spans="3:4" x14ac:dyDescent="0.25">
      <c r="C23" t="s">
        <v>21</v>
      </c>
      <c r="D23" s="1">
        <v>460374.74</v>
      </c>
    </row>
    <row r="24" spans="3:4" x14ac:dyDescent="0.25">
      <c r="C24" t="s">
        <v>22</v>
      </c>
      <c r="D24" s="1">
        <v>1313872.6499999999</v>
      </c>
    </row>
    <row r="25" spans="3:4" x14ac:dyDescent="0.25">
      <c r="C25" t="s">
        <v>23</v>
      </c>
    </row>
    <row r="26" spans="3:4" x14ac:dyDescent="0.25">
      <c r="C26" t="s">
        <v>24</v>
      </c>
    </row>
    <row r="27" spans="3:4" x14ac:dyDescent="0.25">
      <c r="C27" t="s">
        <v>25</v>
      </c>
      <c r="D27" s="1">
        <v>281276.53999999998</v>
      </c>
    </row>
    <row r="28" spans="3:4" x14ac:dyDescent="0.25">
      <c r="C28" t="s">
        <v>26</v>
      </c>
      <c r="D28" s="1">
        <v>-99867.15</v>
      </c>
    </row>
    <row r="29" spans="3:4" x14ac:dyDescent="0.25">
      <c r="C29" t="s">
        <v>27</v>
      </c>
      <c r="D29" s="1">
        <v>181409.39</v>
      </c>
    </row>
    <row r="30" spans="3:4" x14ac:dyDescent="0.25">
      <c r="C30" t="s">
        <v>28</v>
      </c>
    </row>
    <row r="31" spans="3:4" x14ac:dyDescent="0.25">
      <c r="C31" t="s">
        <v>29</v>
      </c>
      <c r="D31" s="1">
        <v>-602.16</v>
      </c>
    </row>
    <row r="32" spans="3:4" x14ac:dyDescent="0.25">
      <c r="C32" t="s">
        <v>30</v>
      </c>
      <c r="D32" s="1">
        <v>-602.16</v>
      </c>
    </row>
    <row r="33" spans="3:4" x14ac:dyDescent="0.25">
      <c r="C33" t="s">
        <v>31</v>
      </c>
    </row>
    <row r="34" spans="3:4" x14ac:dyDescent="0.25">
      <c r="C34" t="s">
        <v>32</v>
      </c>
      <c r="D34" s="1">
        <v>5100000</v>
      </c>
    </row>
    <row r="35" spans="3:4" x14ac:dyDescent="0.25">
      <c r="C35" t="s">
        <v>33</v>
      </c>
      <c r="D35" s="1">
        <v>-2562575.34</v>
      </c>
    </row>
    <row r="36" spans="3:4" x14ac:dyDescent="0.25">
      <c r="C36" t="s">
        <v>34</v>
      </c>
      <c r="D36" s="1">
        <v>2500000</v>
      </c>
    </row>
    <row r="37" spans="3:4" x14ac:dyDescent="0.25">
      <c r="C37" t="s">
        <v>35</v>
      </c>
      <c r="D37" s="1">
        <v>-628082.11</v>
      </c>
    </row>
    <row r="38" spans="3:4" x14ac:dyDescent="0.25">
      <c r="C38" t="s">
        <v>36</v>
      </c>
      <c r="D38" s="1">
        <v>4409342.55</v>
      </c>
    </row>
    <row r="39" spans="3:4" x14ac:dyDescent="0.25">
      <c r="C39" t="s">
        <v>37</v>
      </c>
    </row>
    <row r="40" spans="3:4" x14ac:dyDescent="0.25">
      <c r="C40" t="s">
        <v>38</v>
      </c>
      <c r="D40" s="1">
        <v>3632453.81</v>
      </c>
    </row>
    <row r="41" spans="3:4" x14ac:dyDescent="0.25">
      <c r="C41" t="s">
        <v>39</v>
      </c>
      <c r="D41" s="1">
        <v>3632453.81</v>
      </c>
    </row>
    <row r="42" spans="3:4" x14ac:dyDescent="0.25">
      <c r="C42" t="s">
        <v>40</v>
      </c>
      <c r="D42" s="1">
        <v>8222603.5899999999</v>
      </c>
    </row>
    <row r="43" spans="3:4" x14ac:dyDescent="0.25">
      <c r="C43" t="s">
        <v>41</v>
      </c>
      <c r="D43" s="1">
        <v>2238394</v>
      </c>
    </row>
    <row r="44" spans="3:4" x14ac:dyDescent="0.25">
      <c r="C44" t="s">
        <v>42</v>
      </c>
      <c r="D44" s="1">
        <v>-534700.54</v>
      </c>
    </row>
    <row r="45" spans="3:4" x14ac:dyDescent="0.25">
      <c r="C45" t="s">
        <v>43</v>
      </c>
      <c r="D45" s="1">
        <v>63811435.75</v>
      </c>
    </row>
    <row r="46" spans="3:4" x14ac:dyDescent="0.25">
      <c r="C46" t="s">
        <v>44</v>
      </c>
      <c r="D46" s="1">
        <v>-15507674.82</v>
      </c>
    </row>
    <row r="47" spans="3:4" x14ac:dyDescent="0.25">
      <c r="C47" t="s">
        <v>45</v>
      </c>
      <c r="D47" s="1">
        <v>2390533</v>
      </c>
    </row>
    <row r="48" spans="3:4" x14ac:dyDescent="0.25">
      <c r="C48" t="s">
        <v>46</v>
      </c>
      <c r="D48" s="1">
        <v>-457148.19</v>
      </c>
    </row>
    <row r="49" spans="3:4" x14ac:dyDescent="0.25">
      <c r="C49" t="s">
        <v>47</v>
      </c>
      <c r="D49" s="1">
        <v>25845</v>
      </c>
    </row>
    <row r="50" spans="3:4" x14ac:dyDescent="0.25">
      <c r="C50" t="s">
        <v>48</v>
      </c>
      <c r="D50" s="1">
        <v>138667570</v>
      </c>
    </row>
    <row r="51" spans="3:4" x14ac:dyDescent="0.25">
      <c r="C51" t="s">
        <v>49</v>
      </c>
      <c r="D51" s="1">
        <v>124399.53</v>
      </c>
    </row>
    <row r="52" spans="3:4" x14ac:dyDescent="0.25">
      <c r="C52" t="s">
        <v>50</v>
      </c>
    </row>
    <row r="53" spans="3:4" x14ac:dyDescent="0.25">
      <c r="C53" t="s">
        <v>51</v>
      </c>
      <c r="D53" s="1">
        <v>-2943056.05</v>
      </c>
    </row>
    <row r="54" spans="3:4" x14ac:dyDescent="0.25">
      <c r="C54" t="s">
        <v>52</v>
      </c>
      <c r="D54" s="1">
        <v>-52837.18</v>
      </c>
    </row>
    <row r="55" spans="3:4" x14ac:dyDescent="0.25">
      <c r="C55" t="s">
        <v>53</v>
      </c>
      <c r="D55" s="1">
        <v>-2995893.23</v>
      </c>
    </row>
    <row r="56" spans="3:4" x14ac:dyDescent="0.25">
      <c r="C56" t="s">
        <v>54</v>
      </c>
    </row>
    <row r="57" spans="3:4" x14ac:dyDescent="0.25">
      <c r="C57" t="s">
        <v>55</v>
      </c>
      <c r="D57" s="1">
        <v>-222.67</v>
      </c>
    </row>
    <row r="58" spans="3:4" x14ac:dyDescent="0.25">
      <c r="C58" t="s">
        <v>56</v>
      </c>
      <c r="D58" s="1">
        <v>-222.67</v>
      </c>
    </row>
    <row r="59" spans="3:4" x14ac:dyDescent="0.25">
      <c r="C59" t="s">
        <v>57</v>
      </c>
    </row>
    <row r="60" spans="3:4" x14ac:dyDescent="0.25">
      <c r="C60" t="s">
        <v>58</v>
      </c>
      <c r="D60" s="1">
        <v>-5817101.0099999998</v>
      </c>
    </row>
    <row r="61" spans="3:4" x14ac:dyDescent="0.25">
      <c r="C61" t="s">
        <v>59</v>
      </c>
      <c r="D61" s="1">
        <v>-846940.67</v>
      </c>
    </row>
    <row r="62" spans="3:4" x14ac:dyDescent="0.25">
      <c r="C62" t="s">
        <v>60</v>
      </c>
      <c r="D62" s="1">
        <v>-30252.82</v>
      </c>
    </row>
    <row r="63" spans="3:4" x14ac:dyDescent="0.25">
      <c r="C63" t="s">
        <v>61</v>
      </c>
      <c r="D63" s="1">
        <v>-1079392.3700000001</v>
      </c>
    </row>
    <row r="64" spans="3:4" x14ac:dyDescent="0.25">
      <c r="C64" t="s">
        <v>62</v>
      </c>
      <c r="D64" s="1">
        <v>-171736.15</v>
      </c>
    </row>
    <row r="65" spans="3:4" x14ac:dyDescent="0.25">
      <c r="C65" t="s">
        <v>63</v>
      </c>
      <c r="D65" s="1">
        <v>-71574.559999999998</v>
      </c>
    </row>
    <row r="66" spans="3:4" x14ac:dyDescent="0.25">
      <c r="C66" t="s">
        <v>64</v>
      </c>
      <c r="D66" s="1">
        <v>-8016997.5800000001</v>
      </c>
    </row>
    <row r="67" spans="3:4" x14ac:dyDescent="0.25">
      <c r="C67" t="s">
        <v>65</v>
      </c>
    </row>
    <row r="68" spans="3:4" x14ac:dyDescent="0.25">
      <c r="C68" t="s">
        <v>66</v>
      </c>
      <c r="D68" s="1">
        <v>36850.660000000003</v>
      </c>
    </row>
    <row r="69" spans="3:4" x14ac:dyDescent="0.25">
      <c r="C69" t="s">
        <v>67</v>
      </c>
      <c r="D69" s="1">
        <v>-6234976.7400000002</v>
      </c>
    </row>
    <row r="70" spans="3:4" x14ac:dyDescent="0.25">
      <c r="C70" t="s">
        <v>68</v>
      </c>
      <c r="D70" s="1">
        <v>-80598.3</v>
      </c>
    </row>
    <row r="71" spans="3:4" x14ac:dyDescent="0.25">
      <c r="C71" t="s">
        <v>69</v>
      </c>
      <c r="D71" s="1">
        <v>-506479.37</v>
      </c>
    </row>
    <row r="72" spans="3:4" x14ac:dyDescent="0.25">
      <c r="C72" t="s">
        <v>70</v>
      </c>
      <c r="D72" s="1">
        <v>-6785203.75</v>
      </c>
    </row>
    <row r="73" spans="3:4" x14ac:dyDescent="0.25">
      <c r="C73" t="s">
        <v>71</v>
      </c>
      <c r="D73" s="1">
        <v>1306.3900000000001</v>
      </c>
    </row>
    <row r="74" spans="3:4" x14ac:dyDescent="0.25">
      <c r="C74" t="s">
        <v>72</v>
      </c>
      <c r="D74" s="1">
        <v>-203316</v>
      </c>
    </row>
    <row r="75" spans="3:4" x14ac:dyDescent="0.25">
      <c r="C75" t="s">
        <v>73</v>
      </c>
      <c r="D75" s="1">
        <v>-3000000</v>
      </c>
    </row>
    <row r="76" spans="3:4" x14ac:dyDescent="0.25">
      <c r="C76" t="s">
        <v>74</v>
      </c>
      <c r="D76" s="1">
        <v>-54752500</v>
      </c>
    </row>
    <row r="77" spans="3:4" x14ac:dyDescent="0.25">
      <c r="C77" t="s">
        <v>75</v>
      </c>
      <c r="D77" s="1">
        <v>-11000000</v>
      </c>
    </row>
    <row r="78" spans="3:4" x14ac:dyDescent="0.25">
      <c r="C78" t="s">
        <v>76</v>
      </c>
      <c r="D78" s="1">
        <v>-46244866.659999996</v>
      </c>
    </row>
    <row r="79" spans="3:4" x14ac:dyDescent="0.25">
      <c r="C79" t="s">
        <v>77</v>
      </c>
      <c r="D79" s="1">
        <v>-19049563.870000001</v>
      </c>
    </row>
    <row r="80" spans="3:4" x14ac:dyDescent="0.25">
      <c r="C80" t="s">
        <v>78</v>
      </c>
      <c r="D80" s="1">
        <v>402.69</v>
      </c>
    </row>
    <row r="81" spans="3:5" x14ac:dyDescent="0.25">
      <c r="C81" t="s">
        <v>79</v>
      </c>
      <c r="D81" s="1">
        <f>-79870134.36-47886344.57</f>
        <v>-127756478.93000001</v>
      </c>
      <c r="E81" s="1">
        <f>SUM(D4:D214)</f>
        <v>-2.1071173250675201E-8</v>
      </c>
    </row>
    <row r="82" spans="3:5" x14ac:dyDescent="0.25">
      <c r="C82" t="s">
        <v>80</v>
      </c>
      <c r="D82" s="1">
        <v>-51134730</v>
      </c>
    </row>
    <row r="83" spans="3:5" x14ac:dyDescent="0.25">
      <c r="C83" t="s">
        <v>81</v>
      </c>
      <c r="D83" s="1">
        <v>25895836.899999999</v>
      </c>
    </row>
    <row r="84" spans="3:5" x14ac:dyDescent="0.25">
      <c r="C84" t="s">
        <v>82</v>
      </c>
    </row>
    <row r="85" spans="3:5" x14ac:dyDescent="0.25">
      <c r="C85" t="s">
        <v>83</v>
      </c>
      <c r="D85" s="1">
        <v>-8562344.8599999994</v>
      </c>
    </row>
    <row r="86" spans="3:5" x14ac:dyDescent="0.25">
      <c r="C86" t="s">
        <v>84</v>
      </c>
      <c r="D86" s="1">
        <v>-781794.83</v>
      </c>
    </row>
    <row r="87" spans="3:5" x14ac:dyDescent="0.25">
      <c r="C87" t="s">
        <v>85</v>
      </c>
      <c r="D87" s="1">
        <v>-292522.33</v>
      </c>
    </row>
    <row r="88" spans="3:5" x14ac:dyDescent="0.25">
      <c r="C88" t="s">
        <v>86</v>
      </c>
      <c r="D88" s="1">
        <v>-732724.54</v>
      </c>
    </row>
    <row r="89" spans="3:5" x14ac:dyDescent="0.25">
      <c r="C89" t="s">
        <v>87</v>
      </c>
      <c r="D89" s="1">
        <v>-10369386.560000001</v>
      </c>
    </row>
    <row r="90" spans="3:5" x14ac:dyDescent="0.25">
      <c r="C90" t="s">
        <v>88</v>
      </c>
    </row>
    <row r="91" spans="3:5" x14ac:dyDescent="0.25">
      <c r="C91" t="s">
        <v>89</v>
      </c>
      <c r="D91" s="1">
        <v>-750301.67</v>
      </c>
    </row>
    <row r="92" spans="3:5" x14ac:dyDescent="0.25">
      <c r="C92" t="s">
        <v>90</v>
      </c>
      <c r="D92" s="1">
        <v>-271119.27</v>
      </c>
    </row>
    <row r="93" spans="3:5" x14ac:dyDescent="0.25">
      <c r="C93" t="s">
        <v>91</v>
      </c>
      <c r="D93" s="1">
        <v>-125616.09</v>
      </c>
    </row>
    <row r="94" spans="3:5" x14ac:dyDescent="0.25">
      <c r="C94" t="s">
        <v>92</v>
      </c>
      <c r="D94" s="1">
        <v>-65933.919999999998</v>
      </c>
    </row>
    <row r="95" spans="3:5" x14ac:dyDescent="0.25">
      <c r="C95" t="s">
        <v>93</v>
      </c>
      <c r="D95" s="1">
        <v>-14593.42</v>
      </c>
    </row>
    <row r="96" spans="3:5" x14ac:dyDescent="0.25">
      <c r="C96" t="s">
        <v>94</v>
      </c>
      <c r="D96" s="1">
        <v>-1227564.3700000001</v>
      </c>
    </row>
    <row r="97" spans="3:4" x14ac:dyDescent="0.25">
      <c r="C97" t="s">
        <v>95</v>
      </c>
      <c r="D97" s="1">
        <v>-1027639.97</v>
      </c>
    </row>
    <row r="98" spans="3:4" x14ac:dyDescent="0.25">
      <c r="C98" t="s">
        <v>96</v>
      </c>
      <c r="D98" s="1">
        <v>611.79999999999995</v>
      </c>
    </row>
    <row r="99" spans="3:4" x14ac:dyDescent="0.25">
      <c r="C99" t="s">
        <v>97</v>
      </c>
    </row>
    <row r="100" spans="3:4" x14ac:dyDescent="0.25">
      <c r="C100" t="s">
        <v>98</v>
      </c>
      <c r="D100" s="1">
        <v>1390150.49</v>
      </c>
    </row>
    <row r="101" spans="3:4" x14ac:dyDescent="0.25">
      <c r="C101" t="s">
        <v>99</v>
      </c>
      <c r="D101" s="1">
        <v>606176.03</v>
      </c>
    </row>
    <row r="102" spans="3:4" x14ac:dyDescent="0.25">
      <c r="C102" t="s">
        <v>100</v>
      </c>
      <c r="D102" s="1">
        <v>4704515.84</v>
      </c>
    </row>
    <row r="103" spans="3:4" x14ac:dyDescent="0.25">
      <c r="C103" t="s">
        <v>101</v>
      </c>
      <c r="D103" s="1">
        <v>693561.43</v>
      </c>
    </row>
    <row r="104" spans="3:4" x14ac:dyDescent="0.25">
      <c r="C104" t="s">
        <v>102</v>
      </c>
      <c r="D104" s="1">
        <v>16090.29</v>
      </c>
    </row>
    <row r="105" spans="3:4" x14ac:dyDescent="0.25">
      <c r="C105" t="s">
        <v>103</v>
      </c>
      <c r="D105" s="1">
        <v>7410494.0800000001</v>
      </c>
    </row>
    <row r="106" spans="3:4" x14ac:dyDescent="0.25">
      <c r="C106" t="s">
        <v>104</v>
      </c>
      <c r="D106" s="1">
        <v>130819.73</v>
      </c>
    </row>
    <row r="107" spans="3:4" x14ac:dyDescent="0.25">
      <c r="C107" t="s">
        <v>105</v>
      </c>
    </row>
    <row r="108" spans="3:4" x14ac:dyDescent="0.25">
      <c r="C108" t="s">
        <v>106</v>
      </c>
      <c r="D108" s="1">
        <v>6907915.1600000001</v>
      </c>
    </row>
    <row r="109" spans="3:4" x14ac:dyDescent="0.25">
      <c r="C109" t="s">
        <v>107</v>
      </c>
      <c r="D109" s="1">
        <v>457306.9</v>
      </c>
    </row>
    <row r="110" spans="3:4" x14ac:dyDescent="0.25">
      <c r="C110" t="s">
        <v>108</v>
      </c>
      <c r="D110" s="1">
        <v>906087.58</v>
      </c>
    </row>
    <row r="111" spans="3:4" x14ac:dyDescent="0.25">
      <c r="C111" t="s">
        <v>109</v>
      </c>
      <c r="D111" s="1">
        <v>495989.9</v>
      </c>
    </row>
    <row r="112" spans="3:4" x14ac:dyDescent="0.25">
      <c r="C112" t="s">
        <v>110</v>
      </c>
      <c r="D112" s="1">
        <v>614862.85</v>
      </c>
    </row>
    <row r="113" spans="3:4" x14ac:dyDescent="0.25">
      <c r="C113" t="s">
        <v>111</v>
      </c>
      <c r="D113" s="1">
        <v>9382162.3900000006</v>
      </c>
    </row>
    <row r="114" spans="3:4" x14ac:dyDescent="0.25">
      <c r="C114" t="s">
        <v>112</v>
      </c>
      <c r="D114" s="1">
        <v>458724.73</v>
      </c>
    </row>
    <row r="115" spans="3:4" x14ac:dyDescent="0.25">
      <c r="C115" t="s">
        <v>113</v>
      </c>
    </row>
    <row r="116" spans="3:4" x14ac:dyDescent="0.25">
      <c r="C116" t="s">
        <v>114</v>
      </c>
      <c r="D116" s="1">
        <v>309986.07</v>
      </c>
    </row>
    <row r="117" spans="3:4" x14ac:dyDescent="0.25">
      <c r="C117" t="s">
        <v>115</v>
      </c>
      <c r="D117" s="1">
        <v>22956.59</v>
      </c>
    </row>
    <row r="118" spans="3:4" x14ac:dyDescent="0.25">
      <c r="C118" t="s">
        <v>116</v>
      </c>
      <c r="D118" s="1">
        <v>2725.27</v>
      </c>
    </row>
    <row r="119" spans="3:4" x14ac:dyDescent="0.25">
      <c r="C119" t="s">
        <v>117</v>
      </c>
      <c r="D119" s="1">
        <v>-115227.7</v>
      </c>
    </row>
    <row r="120" spans="3:4" x14ac:dyDescent="0.25">
      <c r="C120" t="s">
        <v>118</v>
      </c>
      <c r="D120" s="1">
        <v>213387.92</v>
      </c>
    </row>
    <row r="121" spans="3:4" x14ac:dyDescent="0.25">
      <c r="C121" t="s">
        <v>119</v>
      </c>
      <c r="D121" s="1">
        <v>20130.39</v>
      </c>
    </row>
    <row r="122" spans="3:4" x14ac:dyDescent="0.25">
      <c r="C122" t="s">
        <v>120</v>
      </c>
      <c r="D122" s="1">
        <v>45672.52</v>
      </c>
    </row>
    <row r="123" spans="3:4" x14ac:dyDescent="0.25">
      <c r="C123" t="s">
        <v>121</v>
      </c>
      <c r="D123" s="1">
        <v>3974.07</v>
      </c>
    </row>
    <row r="124" spans="3:4" x14ac:dyDescent="0.25">
      <c r="C124" t="s">
        <v>122</v>
      </c>
      <c r="D124" s="1">
        <v>19951.32</v>
      </c>
    </row>
    <row r="125" spans="3:4" x14ac:dyDescent="0.25">
      <c r="C125" t="s">
        <v>123</v>
      </c>
      <c r="D125" s="1">
        <v>947294</v>
      </c>
    </row>
    <row r="126" spans="3:4" x14ac:dyDescent="0.25">
      <c r="C126" t="s">
        <v>124</v>
      </c>
      <c r="D126" s="1">
        <v>1470850.45</v>
      </c>
    </row>
    <row r="127" spans="3:4" x14ac:dyDescent="0.25">
      <c r="C127" t="s">
        <v>125</v>
      </c>
      <c r="D127" s="1">
        <v>335024.11</v>
      </c>
    </row>
    <row r="128" spans="3:4" x14ac:dyDescent="0.25">
      <c r="C128" t="s">
        <v>126</v>
      </c>
    </row>
    <row r="129" spans="3:4" x14ac:dyDescent="0.25">
      <c r="C129" t="s">
        <v>127</v>
      </c>
    </row>
    <row r="130" spans="3:4" x14ac:dyDescent="0.25">
      <c r="C130" t="s">
        <v>128</v>
      </c>
      <c r="D130" s="1">
        <v>116377.26</v>
      </c>
    </row>
    <row r="131" spans="3:4" x14ac:dyDescent="0.25">
      <c r="C131" t="s">
        <v>129</v>
      </c>
      <c r="D131" s="1">
        <v>1486618.18</v>
      </c>
    </row>
    <row r="132" spans="3:4" x14ac:dyDescent="0.25">
      <c r="C132" t="s">
        <v>130</v>
      </c>
      <c r="D132" s="1">
        <v>366939.5</v>
      </c>
    </row>
    <row r="133" spans="3:4" x14ac:dyDescent="0.25">
      <c r="C133" t="s">
        <v>131</v>
      </c>
      <c r="D133" s="1">
        <v>34802.720000000001</v>
      </c>
    </row>
    <row r="134" spans="3:4" x14ac:dyDescent="0.25">
      <c r="C134" t="s">
        <v>132</v>
      </c>
      <c r="D134" s="1">
        <v>507194.45</v>
      </c>
    </row>
    <row r="135" spans="3:4" x14ac:dyDescent="0.25">
      <c r="C135" t="s">
        <v>133</v>
      </c>
      <c r="D135" s="1">
        <v>462190.02</v>
      </c>
    </row>
    <row r="136" spans="3:4" x14ac:dyDescent="0.25">
      <c r="C136" t="s">
        <v>134</v>
      </c>
      <c r="D136" s="1">
        <v>2974122.13</v>
      </c>
    </row>
    <row r="137" spans="3:4" x14ac:dyDescent="0.25">
      <c r="C137" t="s">
        <v>135</v>
      </c>
    </row>
    <row r="138" spans="3:4" x14ac:dyDescent="0.25">
      <c r="C138" t="s">
        <v>136</v>
      </c>
      <c r="D138" s="1">
        <v>10000</v>
      </c>
    </row>
    <row r="139" spans="3:4" x14ac:dyDescent="0.25">
      <c r="C139" t="s">
        <v>137</v>
      </c>
      <c r="D139" s="1">
        <v>135639.37</v>
      </c>
    </row>
    <row r="140" spans="3:4" x14ac:dyDescent="0.25">
      <c r="C140" t="s">
        <v>138</v>
      </c>
      <c r="D140" s="1">
        <v>193367.24</v>
      </c>
    </row>
    <row r="141" spans="3:4" x14ac:dyDescent="0.25">
      <c r="C141" t="s">
        <v>139</v>
      </c>
      <c r="D141" s="1">
        <v>19507.34</v>
      </c>
    </row>
    <row r="142" spans="3:4" x14ac:dyDescent="0.25">
      <c r="C142" t="s">
        <v>140</v>
      </c>
      <c r="D142" s="1">
        <v>275.81</v>
      </c>
    </row>
    <row r="143" spans="3:4" x14ac:dyDescent="0.25">
      <c r="C143" t="s">
        <v>141</v>
      </c>
      <c r="D143" s="1">
        <v>1173.56</v>
      </c>
    </row>
    <row r="144" spans="3:4" x14ac:dyDescent="0.25">
      <c r="C144" t="s">
        <v>142</v>
      </c>
      <c r="D144" s="1">
        <v>7910.73</v>
      </c>
    </row>
    <row r="145" spans="3:4" x14ac:dyDescent="0.25">
      <c r="C145" t="s">
        <v>143</v>
      </c>
      <c r="D145" s="1">
        <v>51435.74</v>
      </c>
    </row>
    <row r="146" spans="3:4" x14ac:dyDescent="0.25">
      <c r="C146" t="s">
        <v>144</v>
      </c>
      <c r="D146" s="1">
        <v>5233.16</v>
      </c>
    </row>
    <row r="147" spans="3:4" x14ac:dyDescent="0.25">
      <c r="C147" t="s">
        <v>145</v>
      </c>
      <c r="D147" s="1">
        <v>1660.34</v>
      </c>
    </row>
    <row r="148" spans="3:4" x14ac:dyDescent="0.25">
      <c r="C148" t="s">
        <v>146</v>
      </c>
      <c r="D148" s="1">
        <v>426203.29</v>
      </c>
    </row>
    <row r="149" spans="3:4" x14ac:dyDescent="0.25">
      <c r="C149" t="s">
        <v>147</v>
      </c>
    </row>
    <row r="150" spans="3:4" x14ac:dyDescent="0.25">
      <c r="C150" t="s">
        <v>148</v>
      </c>
      <c r="D150" s="1">
        <v>11176.99</v>
      </c>
    </row>
    <row r="151" spans="3:4" x14ac:dyDescent="0.25">
      <c r="C151" t="s">
        <v>149</v>
      </c>
      <c r="D151" s="1">
        <v>2763.34</v>
      </c>
    </row>
    <row r="152" spans="3:4" x14ac:dyDescent="0.25">
      <c r="C152" t="s">
        <v>150</v>
      </c>
      <c r="D152" s="1">
        <v>106.84</v>
      </c>
    </row>
    <row r="153" spans="3:4" x14ac:dyDescent="0.25">
      <c r="C153" t="s">
        <v>151</v>
      </c>
      <c r="D153" s="1">
        <v>21516.86</v>
      </c>
    </row>
    <row r="154" spans="3:4" x14ac:dyDescent="0.25">
      <c r="C154" t="s">
        <v>152</v>
      </c>
      <c r="D154" s="1">
        <v>654.30999999999995</v>
      </c>
    </row>
    <row r="155" spans="3:4" x14ac:dyDescent="0.25">
      <c r="C155" t="s">
        <v>153</v>
      </c>
      <c r="D155" s="1">
        <v>36218.339999999997</v>
      </c>
    </row>
    <row r="156" spans="3:4" x14ac:dyDescent="0.25">
      <c r="C156" t="s">
        <v>154</v>
      </c>
    </row>
    <row r="157" spans="3:4" x14ac:dyDescent="0.25">
      <c r="C157" t="s">
        <v>155</v>
      </c>
      <c r="D157" s="1">
        <v>9611.06</v>
      </c>
    </row>
    <row r="158" spans="3:4" x14ac:dyDescent="0.25">
      <c r="C158" t="s">
        <v>156</v>
      </c>
      <c r="D158" s="1">
        <v>525.74</v>
      </c>
    </row>
    <row r="159" spans="3:4" x14ac:dyDescent="0.25">
      <c r="C159" t="s">
        <v>157</v>
      </c>
      <c r="D159" s="1">
        <v>30080.99</v>
      </c>
    </row>
    <row r="160" spans="3:4" x14ac:dyDescent="0.25">
      <c r="C160" t="s">
        <v>158</v>
      </c>
      <c r="D160" s="1">
        <v>128580.47</v>
      </c>
    </row>
    <row r="161" spans="3:4" x14ac:dyDescent="0.25">
      <c r="C161" t="s">
        <v>159</v>
      </c>
      <c r="D161" s="1">
        <v>230914.66</v>
      </c>
    </row>
    <row r="162" spans="3:4" x14ac:dyDescent="0.25">
      <c r="C162" t="s">
        <v>160</v>
      </c>
      <c r="D162" s="1">
        <v>6250</v>
      </c>
    </row>
    <row r="163" spans="3:4" x14ac:dyDescent="0.25">
      <c r="C163" t="s">
        <v>161</v>
      </c>
      <c r="D163" s="1">
        <v>6200</v>
      </c>
    </row>
    <row r="164" spans="3:4" x14ac:dyDescent="0.25">
      <c r="C164" t="s">
        <v>162</v>
      </c>
      <c r="D164" s="1">
        <v>74000</v>
      </c>
    </row>
    <row r="165" spans="3:4" x14ac:dyDescent="0.25">
      <c r="C165" t="s">
        <v>163</v>
      </c>
      <c r="D165" s="1">
        <v>486162.92</v>
      </c>
    </row>
    <row r="166" spans="3:4" x14ac:dyDescent="0.25">
      <c r="C166" t="s">
        <v>164</v>
      </c>
    </row>
    <row r="167" spans="3:4" x14ac:dyDescent="0.25">
      <c r="C167" t="s">
        <v>165</v>
      </c>
      <c r="D167" s="1">
        <v>1046352.28</v>
      </c>
    </row>
    <row r="168" spans="3:4" x14ac:dyDescent="0.25">
      <c r="C168" t="s">
        <v>166</v>
      </c>
      <c r="D168" s="1">
        <v>7953.53</v>
      </c>
    </row>
    <row r="169" spans="3:4" x14ac:dyDescent="0.25">
      <c r="C169" t="s">
        <v>167</v>
      </c>
      <c r="D169" s="1">
        <v>1054305.81</v>
      </c>
    </row>
    <row r="170" spans="3:4" x14ac:dyDescent="0.25">
      <c r="C170" t="s">
        <v>168</v>
      </c>
    </row>
    <row r="171" spans="3:4" x14ac:dyDescent="0.25">
      <c r="C171" t="s">
        <v>169</v>
      </c>
      <c r="D171" s="1">
        <v>13671.75</v>
      </c>
    </row>
    <row r="172" spans="3:4" x14ac:dyDescent="0.25">
      <c r="C172" t="s">
        <v>170</v>
      </c>
      <c r="D172" s="1">
        <v>3948</v>
      </c>
    </row>
    <row r="173" spans="3:4" x14ac:dyDescent="0.25">
      <c r="C173" t="s">
        <v>171</v>
      </c>
      <c r="D173" s="1">
        <v>4851.25</v>
      </c>
    </row>
    <row r="174" spans="3:4" x14ac:dyDescent="0.25">
      <c r="C174" t="s">
        <v>172</v>
      </c>
    </row>
    <row r="175" spans="3:4" x14ac:dyDescent="0.25">
      <c r="C175" t="s">
        <v>173</v>
      </c>
      <c r="D175" s="1">
        <v>195</v>
      </c>
    </row>
    <row r="176" spans="3:4" x14ac:dyDescent="0.25">
      <c r="C176" t="s">
        <v>174</v>
      </c>
      <c r="D176" s="1">
        <v>1727.05</v>
      </c>
    </row>
    <row r="177" spans="3:4" x14ac:dyDescent="0.25">
      <c r="C177" t="s">
        <v>175</v>
      </c>
      <c r="D177" s="1">
        <v>5402.31</v>
      </c>
    </row>
    <row r="178" spans="3:4" x14ac:dyDescent="0.25">
      <c r="C178" t="s">
        <v>176</v>
      </c>
      <c r="D178" s="1">
        <v>3291.11</v>
      </c>
    </row>
    <row r="179" spans="3:4" x14ac:dyDescent="0.25">
      <c r="C179" t="s">
        <v>177</v>
      </c>
      <c r="D179" s="1">
        <v>10615.47</v>
      </c>
    </row>
    <row r="180" spans="3:4" x14ac:dyDescent="0.25">
      <c r="C180" t="s">
        <v>178</v>
      </c>
      <c r="D180" s="1">
        <v>33086.47</v>
      </c>
    </row>
    <row r="181" spans="3:4" x14ac:dyDescent="0.25">
      <c r="C181" t="s">
        <v>179</v>
      </c>
      <c r="D181" s="1">
        <v>5010098.96</v>
      </c>
    </row>
    <row r="182" spans="3:4" x14ac:dyDescent="0.25">
      <c r="C182" t="s">
        <v>180</v>
      </c>
    </row>
    <row r="183" spans="3:4" x14ac:dyDescent="0.25">
      <c r="C183" t="s">
        <v>181</v>
      </c>
      <c r="D183" s="1">
        <v>3819.22</v>
      </c>
    </row>
    <row r="184" spans="3:4" x14ac:dyDescent="0.25">
      <c r="C184" t="s">
        <v>182</v>
      </c>
      <c r="D184" s="1">
        <v>11193.32</v>
      </c>
    </row>
    <row r="185" spans="3:4" x14ac:dyDescent="0.25">
      <c r="C185" t="s">
        <v>183</v>
      </c>
      <c r="D185" s="1">
        <v>162380.6</v>
      </c>
    </row>
    <row r="186" spans="3:4" x14ac:dyDescent="0.25">
      <c r="C186" t="s">
        <v>184</v>
      </c>
      <c r="D186" s="1">
        <v>5649647.71</v>
      </c>
    </row>
    <row r="187" spans="3:4" x14ac:dyDescent="0.25">
      <c r="C187" t="s">
        <v>185</v>
      </c>
      <c r="D187" s="1">
        <v>5017470</v>
      </c>
    </row>
    <row r="188" spans="3:4" x14ac:dyDescent="0.25">
      <c r="C188" t="s">
        <v>186</v>
      </c>
      <c r="D188" s="1">
        <v>749339.64</v>
      </c>
    </row>
    <row r="189" spans="3:4" x14ac:dyDescent="0.25">
      <c r="C189" t="s">
        <v>187</v>
      </c>
      <c r="D189" s="1">
        <v>7961.58</v>
      </c>
    </row>
    <row r="190" spans="3:4" x14ac:dyDescent="0.25">
      <c r="C190" t="s">
        <v>188</v>
      </c>
      <c r="D190" s="1">
        <v>15588.41</v>
      </c>
    </row>
    <row r="191" spans="3:4" x14ac:dyDescent="0.25">
      <c r="C191" t="s">
        <v>189</v>
      </c>
      <c r="D191" s="1">
        <v>2828.25</v>
      </c>
    </row>
    <row r="192" spans="3:4" x14ac:dyDescent="0.25">
      <c r="C192" t="s">
        <v>190</v>
      </c>
      <c r="D192" s="1">
        <v>44205.25</v>
      </c>
    </row>
    <row r="193" spans="3:4" x14ac:dyDescent="0.25">
      <c r="C193" t="s">
        <v>191</v>
      </c>
      <c r="D193" s="1">
        <v>55873.4</v>
      </c>
    </row>
    <row r="194" spans="3:4" x14ac:dyDescent="0.25">
      <c r="C194" t="s">
        <v>192</v>
      </c>
      <c r="D194" s="1">
        <v>-0.01</v>
      </c>
    </row>
    <row r="195" spans="3:4" x14ac:dyDescent="0.25">
      <c r="C195" t="s">
        <v>193</v>
      </c>
      <c r="D195" s="1">
        <v>11720307.369999999</v>
      </c>
    </row>
    <row r="196" spans="3:4" x14ac:dyDescent="0.25">
      <c r="C196" t="s">
        <v>194</v>
      </c>
      <c r="D196" s="1">
        <v>5287.04</v>
      </c>
    </row>
    <row r="197" spans="3:4" x14ac:dyDescent="0.25">
      <c r="C197" t="s">
        <v>195</v>
      </c>
      <c r="D197" s="1">
        <v>-51786.7</v>
      </c>
    </row>
    <row r="198" spans="3:4" x14ac:dyDescent="0.25">
      <c r="C198" t="s">
        <v>196</v>
      </c>
    </row>
    <row r="199" spans="3:4" x14ac:dyDescent="0.25">
      <c r="C199" t="s">
        <v>197</v>
      </c>
      <c r="D199" s="1">
        <v>850000</v>
      </c>
    </row>
    <row r="200" spans="3:4" x14ac:dyDescent="0.25">
      <c r="C200" t="s">
        <v>198</v>
      </c>
      <c r="D200" s="1">
        <v>103739.45</v>
      </c>
    </row>
    <row r="201" spans="3:4" x14ac:dyDescent="0.25">
      <c r="C201" t="s">
        <v>199</v>
      </c>
      <c r="D201" s="1">
        <v>953739.45</v>
      </c>
    </row>
    <row r="202" spans="3:4" x14ac:dyDescent="0.25">
      <c r="C202" t="s">
        <v>200</v>
      </c>
    </row>
    <row r="203" spans="3:4" x14ac:dyDescent="0.25">
      <c r="C203" t="s">
        <v>201</v>
      </c>
      <c r="D203" s="1">
        <v>141322.46</v>
      </c>
    </row>
    <row r="204" spans="3:4" x14ac:dyDescent="0.25">
      <c r="C204" t="s">
        <v>202</v>
      </c>
      <c r="D204" s="1">
        <v>7476352.9500000002</v>
      </c>
    </row>
    <row r="205" spans="3:4" x14ac:dyDescent="0.25">
      <c r="C205" t="s">
        <v>203</v>
      </c>
      <c r="D205" s="1">
        <v>7617675.4100000001</v>
      </c>
    </row>
    <row r="206" spans="3:4" x14ac:dyDescent="0.25">
      <c r="C206" t="s">
        <v>204</v>
      </c>
      <c r="D206" s="1">
        <v>11597321.74</v>
      </c>
    </row>
    <row r="207" spans="3:4" x14ac:dyDescent="0.25">
      <c r="C207" t="s">
        <v>205</v>
      </c>
      <c r="D207" s="1">
        <v>1180.1300000000001</v>
      </c>
    </row>
    <row r="208" spans="3:4" x14ac:dyDescent="0.25">
      <c r="C208" t="s">
        <v>206</v>
      </c>
    </row>
    <row r="209" spans="3:4" x14ac:dyDescent="0.25">
      <c r="C209" t="s">
        <v>207</v>
      </c>
      <c r="D209" s="1">
        <v>1587.38</v>
      </c>
    </row>
    <row r="210" spans="3:4" x14ac:dyDescent="0.25">
      <c r="C210" t="s">
        <v>208</v>
      </c>
      <c r="D210" s="1">
        <v>28010.28</v>
      </c>
    </row>
    <row r="211" spans="3:4" x14ac:dyDescent="0.25">
      <c r="C211" t="s">
        <v>209</v>
      </c>
      <c r="D211" s="1">
        <v>10179.799999999999</v>
      </c>
    </row>
    <row r="212" spans="3:4" x14ac:dyDescent="0.25">
      <c r="C212" t="s">
        <v>210</v>
      </c>
      <c r="D212" s="1">
        <v>39777.46</v>
      </c>
    </row>
    <row r="213" spans="3:4" x14ac:dyDescent="0.25">
      <c r="C213" t="s">
        <v>211</v>
      </c>
      <c r="D213" s="1">
        <v>180358.6</v>
      </c>
    </row>
    <row r="214" spans="3:4" x14ac:dyDescent="0.25">
      <c r="C214" t="s">
        <v>212</v>
      </c>
      <c r="D214" s="1">
        <v>-509565.26</v>
      </c>
    </row>
    <row r="215" spans="3:4" x14ac:dyDescent="0.25">
      <c r="C215" t="s">
        <v>213</v>
      </c>
      <c r="D2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Eaglin</dc:creator>
  <cp:lastModifiedBy>Ting Eaglin</cp:lastModifiedBy>
  <dcterms:created xsi:type="dcterms:W3CDTF">2025-12-18T02:38:20Z</dcterms:created>
  <dcterms:modified xsi:type="dcterms:W3CDTF">2025-12-23T19:05:02Z</dcterms:modified>
</cp:coreProperties>
</file>